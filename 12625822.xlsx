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3F36AF66-4FB3-4A2E-A02B-6B5BF3231B6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8" i="2" l="1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<sst xmlns="http://schemas.openxmlformats.org/spreadsheetml/2006/main" count="70" uniqueCount="62">
  <si>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</si>
  <si>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</si>
  <si>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</si>
  <si>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</si>
  <si>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</si>
  <si>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</si>
  <si>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</si>
  <si>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</si>
  <si>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</si>
  <si>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</si>
  <si>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</si>
  <si>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</si>
  <si>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</si>
  <si>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</si>
  <si>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</si>
  <si>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</si>
  <si>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</si>
  <si>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</si>
  <si>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</si>
  <si>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</si>
  <si>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</si>
  <si>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</si>
  <si>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</si>
  <si>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</si>
  <si>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</si>
  <si>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</si>
  <si>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</si>
  <si>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</si>
  <si>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</si>
  <si>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</si>
  <si>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</si>
  <si>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</si>
  <si>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</si>
  <si>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</si>
  <si>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</si>
  <si>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</si>
  <si>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</si>
  <si>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</si>
  <si>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</si>
  <si>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</si>
  <si>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</si>
  <si>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</si>
  <si>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</si>
  <si>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</si>
  <si>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</si>
  <si>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</si>
  <si>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</si>
  <si>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</si>
  <si>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</si>
  <si>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</si>
  <si>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</si>
  <si>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</si>
  <si>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</si>
  <si>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</si>
  <si>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</si>
  <si>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</si>
  <si>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</si>
  <si>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I have decided to stay consistent and focus on my studies</t>
  </si>
  <si>
    <t>Low</t>
  </si>
  <si>
    <t>High</t>
  </si>
  <si>
    <t>Unsatisfied</t>
  </si>
  <si>
    <t>Body is so weak in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</si>
</sst>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8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4" sqref="B14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46260</v>
      </c>
      <c r="B6" s="9">
        <v>270</v>
      </c>
      <c r="C6" s="9">
        <v>80</v>
      </c>
      <c r="D6" s="9">
        <v>210</v>
      </c>
      <c r="E6" s="9">
        <v>20</v>
      </c>
      <c r="F6" s="9">
        <v>200</v>
      </c>
      <c r="G6" s="9">
        <v>4</v>
      </c>
      <c r="H6" s="9">
        <v>30</v>
      </c>
      <c r="I6" s="10">
        <f t="shared" ref="I6:I8" si="0">IF(SUM(B6:F6,H6)=0,"",SUM(B6:F6,H6))</f>
        <v>810</v>
      </c>
      <c r="J6" s="10">
        <f t="shared" ref="J6:J8" si="1">IF(I6="","",1440-I6)</f>
        <v>630</v>
      </c>
      <c r="K6" s="11" t="s">
        <v>56</v>
      </c>
      <c r="L6" s="11" t="s">
        <v>56</v>
      </c>
      <c r="M6" s="11" t="s">
        <v>51</v>
      </c>
      <c r="N6" s="12" t="s">
        <v>57</v>
      </c>
    </row>
    <row r="7" spans="1:14" x14ac:dyDescent="0.3">
      <c r="A7" s="8">
        <v>46261</v>
      </c>
      <c r="B7" s="9">
        <v>300</v>
      </c>
      <c r="C7" s="9">
        <v>70</v>
      </c>
      <c r="D7" s="9">
        <v>180</v>
      </c>
      <c r="E7" s="9">
        <v>30</v>
      </c>
      <c r="F7" s="9">
        <v>250</v>
      </c>
      <c r="G7" s="9">
        <v>5</v>
      </c>
      <c r="H7" s="9"/>
      <c r="I7" s="10">
        <f t="shared" si="0"/>
        <v>830</v>
      </c>
      <c r="J7" s="10">
        <f t="shared" si="1"/>
        <v>610</v>
      </c>
      <c r="K7" s="11" t="s">
        <v>49</v>
      </c>
      <c r="L7" s="11" t="s">
        <v>56</v>
      </c>
      <c r="M7" s="11" t="s">
        <v>51</v>
      </c>
      <c r="N7" s="12"/>
    </row>
    <row r="8" spans="1:14" x14ac:dyDescent="0.3">
      <c r="A8" s="8">
        <v>46262</v>
      </c>
      <c r="B8" s="9">
        <v>360</v>
      </c>
      <c r="C8" s="9">
        <v>80</v>
      </c>
      <c r="D8" s="9">
        <v>200</v>
      </c>
      <c r="E8" s="9">
        <v>30</v>
      </c>
      <c r="F8" s="9">
        <v>300</v>
      </c>
      <c r="G8" s="9">
        <v>6</v>
      </c>
      <c r="H8" s="9">
        <v>120</v>
      </c>
      <c r="I8" s="10">
        <f t="shared" si="0"/>
        <v>1090</v>
      </c>
      <c r="J8" s="10">
        <f t="shared" si="1"/>
        <v>350</v>
      </c>
      <c r="K8" s="11" t="s">
        <v>49</v>
      </c>
      <c r="L8" s="11" t="s">
        <v>50</v>
      </c>
      <c r="M8" s="11" t="s">
        <v>59</v>
      </c>
      <c r="N8" s="12"/>
    </row>
    <row r="9" spans="1:14" x14ac:dyDescent="0.3">
      <c r="A9" s="8">
        <v>46263</v>
      </c>
      <c r="B9" s="9">
        <v>360</v>
      </c>
      <c r="C9" s="9">
        <v>20</v>
      </c>
      <c r="D9" s="9">
        <v>260</v>
      </c>
      <c r="E9" s="9">
        <v>40</v>
      </c>
      <c r="F9" s="9">
        <v>0</v>
      </c>
      <c r="G9" s="9">
        <v>0</v>
      </c>
      <c r="H9" s="9">
        <v>30</v>
      </c>
      <c r="I9" s="10">
        <f t="shared" ref="I9:I72" si="2">IF(SUM(B9:F9,H9)=0,"",SUM(B9:F9,H9))</f>
        <v>710</v>
      </c>
      <c r="J9" s="10">
        <f t="shared" ref="J9:J72" si="3">IF(I9="","",1440-I9)</f>
        <v>730</v>
      </c>
      <c r="K9" s="11" t="s">
        <v>58</v>
      </c>
      <c r="L9" s="11" t="s">
        <v>60</v>
      </c>
      <c r="M9" s="11" t="s">
        <v>58</v>
      </c>
      <c r="N9" s="12" t="s">
        <v>61</v>
      </c>
    </row>
    <row r="10" spans="1:14" x14ac:dyDescent="0.3">
      <c r="A10" s="8">
        <v>46264</v>
      </c>
      <c r="B10" s="9">
        <v>480</v>
      </c>
      <c r="C10" s="9">
        <v>10</v>
      </c>
      <c r="D10" s="9"/>
      <c r="E10" s="9"/>
      <c r="F10" s="9"/>
      <c r="G10" s="9"/>
      <c r="H10" s="9"/>
      <c r="I10" s="10">
        <f t="shared" si="2"/>
        <v>490</v>
      </c>
      <c r="J10" s="10">
        <f t="shared" si="3"/>
        <v>950</v>
      </c>
      <c r="K10" s="11" t="s">
        <v>56</v>
      </c>
      <c r="L10" s="11" t="s">
        <v>56</v>
      </c>
      <c r="M10" s="11" t="s">
        <v>51</v>
      </c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2"/>
        <v/>
      </c>
      <c r="J11" s="10" t="str">
        <f t="shared" si="3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2"/>
        <v/>
      </c>
      <c r="J12" s="10" t="str">
        <f t="shared" si="3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2"/>
        <v/>
      </c>
      <c r="J13" s="10" t="str">
        <f t="shared" si="3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2"/>
        <v/>
      </c>
      <c r="J14" s="10" t="str">
        <f t="shared" si="3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2"/>
        <v/>
      </c>
      <c r="J15" s="10" t="str">
        <f t="shared" si="3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2"/>
        <v/>
      </c>
      <c r="J16" s="10" t="str">
        <f t="shared" si="3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2"/>
        <v/>
      </c>
      <c r="J17" s="10" t="str">
        <f t="shared" si="3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2"/>
        <v/>
      </c>
      <c r="J18" s="10" t="str">
        <f t="shared" si="3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2"/>
        <v/>
      </c>
      <c r="J19" s="10" t="str">
        <f t="shared" si="3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2"/>
        <v/>
      </c>
      <c r="J20" s="10" t="str">
        <f t="shared" si="3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2"/>
        <v/>
      </c>
      <c r="J21" s="10" t="str">
        <f t="shared" si="3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2"/>
        <v/>
      </c>
      <c r="J22" s="10" t="str">
        <f t="shared" si="3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2"/>
        <v/>
      </c>
      <c r="J23" s="10" t="str">
        <f t="shared" si="3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2"/>
        <v/>
      </c>
      <c r="J24" s="10" t="str">
        <f t="shared" si="3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2"/>
        <v/>
      </c>
      <c r="J25" s="10" t="str">
        <f t="shared" si="3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2"/>
        <v/>
      </c>
      <c r="J26" s="10" t="str">
        <f t="shared" si="3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2"/>
        <v/>
      </c>
      <c r="J27" s="10" t="str">
        <f t="shared" si="3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2"/>
        <v/>
      </c>
      <c r="J28" s="10" t="str">
        <f t="shared" si="3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2"/>
        <v/>
      </c>
      <c r="J29" s="10" t="str">
        <f t="shared" si="3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2"/>
        <v/>
      </c>
      <c r="J30" s="10" t="str">
        <f t="shared" si="3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2"/>
        <v/>
      </c>
      <c r="J31" s="10" t="str">
        <f t="shared" si="3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2"/>
        <v/>
      </c>
      <c r="J32" s="10" t="str">
        <f t="shared" si="3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3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3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3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3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3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3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3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3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3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3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3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3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3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2"/>
        <v/>
      </c>
      <c r="J46" s="10" t="str">
        <f t="shared" si="3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2"/>
        <v/>
      </c>
      <c r="J47" s="10" t="str">
        <f t="shared" si="3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ref="I73:I136" si="4">IF(SUM(B73:F73,H73)=0,"",SUM(B73:F73,H73))</f>
        <v/>
      </c>
      <c r="J73" s="10" t="str">
        <f t="shared" ref="J73:J136" si="5">IF(I73="","",1440-I73)</f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ref="I137:I148" si="6">IF(SUM(B137:F137,H137)=0,"",SUM(B137:F137,H137))</f>
        <v/>
      </c>
      <c r="J137" s="10" t="str">
        <f t="shared" ref="J137:J148" si="7">IF(I137="","",1440-I137)</f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4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48" xr:uid="{00000000-0002-0000-0100-000000000000}">
      <formula1>"Excellent,Good,Neutral,Low,Stressed"</formula1>
      <formula2>0</formula2>
    </dataValidation>
    <dataValidation type="list" allowBlank="1" prompt="Select today's satisfaction level" sqref="L6:L14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4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2026-09-16T04:18:48Z</dcterms:modified>
  <dc:language>en-US</dc:language>
</cp:coreProperties>
</file>