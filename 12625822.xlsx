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LPU\sem 1\Python\CAP776\"/>
    </mc:Choice>
  </mc:AlternateContent>
  <xr:revisionPtr revIDLastSave="0" documentId="13_ncr:1_{4A11A9E4-EDE1-4556-8B6D-D15F550CB1A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8" i="2"/>
  <c r="J8" i="2" s="1"/>
  <c r="I9" i="2"/>
  <c r="J9" i="2" s="1"/>
  <c r="I10" i="2"/>
  <c r="J10" i="2"/>
  <c r="I11" i="2"/>
  <c r="J11" i="2"/>
  <c r="I12" i="2"/>
  <c r="J12" i="2" s="1"/>
  <c r="I13" i="2"/>
  <c r="J13" i="2"/>
  <c r="I36" i="2"/>
  <c r="J36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18" i="2"/>
  <c r="J18" i="2" s="1"/>
  <c r="I17" i="2"/>
  <c r="J17" i="2" s="1"/>
  <c r="I16" i="2"/>
  <c r="J16" i="2" s="1"/>
  <c r="I15" i="2"/>
  <c r="J15" i="2" s="1"/>
  <c r="I14" i="2"/>
  <c r="J14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</calcChain>
</file>

<file path=xl/sharedStrings.xml><?xml version="1.0" encoding="utf-8"?>
<sst xmlns="http://schemas.openxmlformats.org/spreadsheetml/2006/main" count="104" uniqueCount="74">
  <si>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</si>
  <si>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</si>
  <si>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</si>
  <si>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</si>
  <si>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</si>
  <si>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</si>
  <si>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</si>
  <si>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</si>
  <si>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</si>
  <si>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</si>
  <si>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</si>
  <si>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</si>
  <si>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</si>
  <si>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</si>
  <si>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</si>
  <si>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</si>
  <si>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</si>
  <si>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</si>
  <si>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</si>
  <si>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</si>
  <si>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</si>
  <si>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</si>
  <si>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</si>
  <si>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</si>
  <si>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</si>
  <si>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</si>
  <si>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</si>
  <si>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</si>
  <si>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</si>
  <si>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</si>
  <si>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</si>
  <si>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</si>
  <si>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</si>
  <si>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</si>
  <si>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</si>
  <si>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</si>
  <si>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</si>
  <si>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</si>
  <si>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</si>
  <si>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</si>
  <si>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</si>
  <si>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</si>
  <si>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</si>
  <si>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</si>
  <si>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</si>
  <si>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</si>
  <si>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</si>
  <si>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</si>
  <si>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</si>
  <si>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</si>
  <si>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</si>
  <si>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</si>
  <si>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</si>
  <si>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Shazin Adinan K P</t>
  </si>
  <si>
    <t>Augest</t>
  </si>
  <si>
    <t>MCA/DIP2634</t>
  </si>
  <si>
    <t>Neutral</t>
  </si>
  <si>
    <t>Low</t>
  </si>
  <si>
    <t>High</t>
  </si>
  <si>
    <t>Unsatisfied</t>
  </si>
  <si>
    <t xml:space="preserve">Stressful day </t>
  </si>
  <si>
    <t>Weekend</t>
  </si>
  <si>
    <t>Excellent</t>
  </si>
  <si>
    <t>Very Satisfied</t>
  </si>
  <si>
    <t>A day in the mountains, finding peace away from the noise of life.</t>
  </si>
  <si>
    <t>Back to my room, carrying memories of a beautiful day in the mountains.</t>
  </si>
  <si>
    <t>When I saw the communication skills results, I was dissapointed because I expected more than that</t>
  </si>
  <si>
    <t>Started the day following a consistent routine.</t>
  </si>
  <si>
    <t>Focused on academic tasks and keeping up with classes.</t>
  </si>
  <si>
    <t>Weekend relaxation and recovery.</t>
  </si>
  <si>
    <t>Enjoyed a peaceful weekend day.</t>
  </si>
  <si>
    <t>Back to the regular weekday schedule and focused studies.</t>
  </si>
  <si>
    <t>Ready for the weekend to get here</t>
  </si>
  <si>
    <t>I have a CA tomorrow, but I’m not feeling well, so I’m unable to study for 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</si>
</sst>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 applyAlignment="1">
      <alignment horizontal="center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1"/>
  <sheetViews>
    <sheetView tabSelected="1" zoomScale="110" zoomScaleNormal="70" workbookViewId="0">
      <pane xSplit="1" ySplit="5" topLeftCell="F38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4.4" x14ac:dyDescent="0.3"/>
  <cols>
    <col min="1" max="1" width="18" bestFit="1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6.21875" bestFit="1" customWidth="1"/>
    <col min="9" max="9" width="14.33203125" bestFit="1" customWidth="1"/>
    <col min="10" max="10" width="19" bestFit="1" customWidth="1"/>
    <col min="11" max="11" width="8.6640625" bestFit="1" customWidth="1"/>
    <col min="12" max="12" width="12.6640625" bestFit="1" customWidth="1"/>
    <col min="13" max="13" width="8" bestFit="1" customWidth="1"/>
    <col min="14" max="14" width="63.21875" bestFit="1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12625822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5" t="s">
        <v>54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46247</v>
      </c>
      <c r="B6" s="9"/>
      <c r="C6" s="9"/>
      <c r="D6" s="9"/>
      <c r="E6" s="9"/>
      <c r="F6" s="9"/>
      <c r="G6" s="9"/>
      <c r="H6" s="9"/>
      <c r="I6" s="10" t="str">
        <f t="shared" ref="I6:I13" si="0">IF(SUM(B6:F6,H6)=0,"",SUM(B6:F6,H6))</f>
        <v/>
      </c>
      <c r="J6" s="10" t="str">
        <f t="shared" ref="J6:J13" si="1">IF(I6="","",1440-I6)</f>
        <v/>
      </c>
      <c r="K6" s="11"/>
      <c r="L6" s="11"/>
      <c r="M6" s="11"/>
      <c r="N6" s="12"/>
    </row>
    <row r="7" spans="1:14" x14ac:dyDescent="0.3">
      <c r="A7" s="8">
        <v>46248</v>
      </c>
      <c r="B7" s="9"/>
      <c r="C7" s="9"/>
      <c r="D7" s="9"/>
      <c r="E7" s="9"/>
      <c r="F7" s="9"/>
      <c r="G7" s="9"/>
      <c r="H7" s="9"/>
      <c r="I7" s="10" t="str">
        <f t="shared" si="0"/>
        <v/>
      </c>
      <c r="J7" s="10" t="str">
        <f t="shared" si="1"/>
        <v/>
      </c>
      <c r="K7" s="11"/>
      <c r="L7" s="11"/>
      <c r="M7" s="11"/>
      <c r="N7" s="12"/>
    </row>
    <row r="8" spans="1:14" x14ac:dyDescent="0.3">
      <c r="A8" s="8">
        <v>46249</v>
      </c>
      <c r="B8" s="9"/>
      <c r="C8" s="9"/>
      <c r="D8" s="9"/>
      <c r="E8" s="9"/>
      <c r="F8" s="9"/>
      <c r="G8" s="9"/>
      <c r="H8" s="9"/>
      <c r="I8" s="10" t="str">
        <f t="shared" si="0"/>
        <v/>
      </c>
      <c r="J8" s="10" t="str">
        <f t="shared" si="1"/>
        <v/>
      </c>
      <c r="K8" s="11"/>
      <c r="L8" s="11"/>
      <c r="M8" s="11"/>
      <c r="N8" s="12"/>
    </row>
    <row r="9" spans="1:14" x14ac:dyDescent="0.3">
      <c r="A9" s="8">
        <v>46250</v>
      </c>
      <c r="B9" s="9"/>
      <c r="C9" s="9"/>
      <c r="D9" s="9"/>
      <c r="E9" s="9"/>
      <c r="F9" s="9"/>
      <c r="G9" s="9"/>
      <c r="H9" s="9"/>
      <c r="I9" s="10" t="str">
        <f t="shared" si="0"/>
        <v/>
      </c>
      <c r="J9" s="10" t="str">
        <f t="shared" si="1"/>
        <v/>
      </c>
      <c r="K9" s="11"/>
      <c r="L9" s="11"/>
      <c r="M9" s="11"/>
      <c r="N9" s="12"/>
    </row>
    <row r="10" spans="1:14" x14ac:dyDescent="0.3">
      <c r="A10" s="8">
        <v>46251</v>
      </c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 x14ac:dyDescent="0.3">
      <c r="A11" s="8">
        <v>46252</v>
      </c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3">
      <c r="A12" s="8">
        <v>46253</v>
      </c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>
        <v>46254</v>
      </c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>
        <v>46255</v>
      </c>
      <c r="B14" s="9"/>
      <c r="C14" s="9"/>
      <c r="D14" s="9"/>
      <c r="E14" s="9"/>
      <c r="F14" s="9"/>
      <c r="G14" s="9"/>
      <c r="H14" s="9"/>
      <c r="I14" s="10" t="str">
        <f t="shared" ref="I14:I18" si="2">IF(SUM(B14:F14,H14)=0,"",SUM(B14:F14,H14))</f>
        <v/>
      </c>
      <c r="J14" s="10" t="str">
        <f t="shared" ref="J14:J18" si="3">IF(I14="","",1440-I14)</f>
        <v/>
      </c>
      <c r="K14" s="11"/>
      <c r="L14" s="11"/>
      <c r="M14" s="11"/>
      <c r="N14" s="12"/>
    </row>
    <row r="15" spans="1:14" x14ac:dyDescent="0.3">
      <c r="A15" s="8">
        <v>46256</v>
      </c>
      <c r="B15" s="9"/>
      <c r="C15" s="9"/>
      <c r="D15" s="9"/>
      <c r="E15" s="9"/>
      <c r="F15" s="9"/>
      <c r="G15" s="9"/>
      <c r="H15" s="9"/>
      <c r="I15" s="10" t="str">
        <f t="shared" si="2"/>
        <v/>
      </c>
      <c r="J15" s="10" t="str">
        <f t="shared" si="3"/>
        <v/>
      </c>
      <c r="K15" s="11"/>
      <c r="L15" s="11"/>
      <c r="M15" s="11"/>
      <c r="N15" s="12"/>
    </row>
    <row r="16" spans="1:14" x14ac:dyDescent="0.3">
      <c r="A16" s="8">
        <v>46257</v>
      </c>
      <c r="B16" s="9"/>
      <c r="C16" s="9"/>
      <c r="D16" s="9"/>
      <c r="E16" s="9"/>
      <c r="F16" s="9"/>
      <c r="G16" s="9"/>
      <c r="H16" s="9"/>
      <c r="I16" s="10" t="str">
        <f t="shared" si="2"/>
        <v/>
      </c>
      <c r="J16" s="10" t="str">
        <f t="shared" si="3"/>
        <v/>
      </c>
      <c r="K16" s="11"/>
      <c r="L16" s="11"/>
      <c r="M16" s="11"/>
      <c r="N16" s="12"/>
    </row>
    <row r="17" spans="1:14" x14ac:dyDescent="0.3">
      <c r="A17" s="8">
        <v>46258</v>
      </c>
      <c r="B17" s="9"/>
      <c r="C17" s="9"/>
      <c r="D17" s="9"/>
      <c r="E17" s="9"/>
      <c r="F17" s="9"/>
      <c r="G17" s="9"/>
      <c r="H17" s="9"/>
      <c r="I17" s="10" t="str">
        <f t="shared" si="2"/>
        <v/>
      </c>
      <c r="J17" s="10" t="str">
        <f t="shared" si="3"/>
        <v/>
      </c>
      <c r="K17" s="11"/>
      <c r="L17" s="11"/>
      <c r="M17" s="11"/>
      <c r="N17" s="12"/>
    </row>
    <row r="18" spans="1:14" x14ac:dyDescent="0.3">
      <c r="A18" s="8">
        <v>46259</v>
      </c>
      <c r="B18" s="9"/>
      <c r="C18" s="9"/>
      <c r="D18" s="9"/>
      <c r="E18" s="9"/>
      <c r="F18" s="9"/>
      <c r="G18" s="9"/>
      <c r="H18" s="9"/>
      <c r="I18" s="10" t="str">
        <f t="shared" si="2"/>
        <v/>
      </c>
      <c r="J18" s="10" t="str">
        <f t="shared" si="3"/>
        <v/>
      </c>
      <c r="K18" s="11"/>
      <c r="L18" s="11"/>
      <c r="M18" s="11"/>
      <c r="N18" s="12"/>
    </row>
    <row r="19" spans="1:14" x14ac:dyDescent="0.3">
      <c r="A19" s="8">
        <v>46260</v>
      </c>
      <c r="B19" s="9">
        <v>270</v>
      </c>
      <c r="C19" s="9">
        <v>80</v>
      </c>
      <c r="D19" s="9">
        <v>210</v>
      </c>
      <c r="E19" s="9">
        <v>20</v>
      </c>
      <c r="F19" s="9">
        <v>200</v>
      </c>
      <c r="G19" s="9">
        <v>4</v>
      </c>
      <c r="H19" s="9">
        <v>30</v>
      </c>
      <c r="I19" s="10">
        <f t="shared" ref="I19:I21" si="4">IF(SUM(B19:F19,H19)=0,"",SUM(B19:F19,H19))</f>
        <v>810</v>
      </c>
      <c r="J19" s="10">
        <f t="shared" ref="J19:J21" si="5">IF(I19="","",1440-I19)</f>
        <v>630</v>
      </c>
      <c r="K19" s="11" t="s">
        <v>56</v>
      </c>
      <c r="L19" s="11" t="s">
        <v>56</v>
      </c>
      <c r="M19" s="11" t="s">
        <v>51</v>
      </c>
      <c r="N19" s="12" t="s">
        <v>67</v>
      </c>
    </row>
    <row r="20" spans="1:14" x14ac:dyDescent="0.3">
      <c r="A20" s="8">
        <v>46261</v>
      </c>
      <c r="B20" s="9">
        <v>300</v>
      </c>
      <c r="C20" s="9">
        <v>70</v>
      </c>
      <c r="D20" s="9">
        <v>180</v>
      </c>
      <c r="E20" s="9">
        <v>30</v>
      </c>
      <c r="F20" s="9">
        <v>250</v>
      </c>
      <c r="G20" s="9">
        <v>5</v>
      </c>
      <c r="H20" s="9">
        <v>20</v>
      </c>
      <c r="I20" s="10">
        <f t="shared" si="4"/>
        <v>850</v>
      </c>
      <c r="J20" s="10">
        <f t="shared" si="5"/>
        <v>590</v>
      </c>
      <c r="K20" s="11" t="s">
        <v>49</v>
      </c>
      <c r="L20" s="11" t="s">
        <v>56</v>
      </c>
      <c r="M20" s="11" t="s">
        <v>51</v>
      </c>
      <c r="N20" s="12" t="s">
        <v>68</v>
      </c>
    </row>
    <row r="21" spans="1:14" x14ac:dyDescent="0.3">
      <c r="A21" s="8">
        <v>46262</v>
      </c>
      <c r="B21" s="9">
        <v>360</v>
      </c>
      <c r="C21" s="9">
        <v>80</v>
      </c>
      <c r="D21" s="9">
        <v>200</v>
      </c>
      <c r="E21" s="9">
        <v>30</v>
      </c>
      <c r="F21" s="9">
        <v>300</v>
      </c>
      <c r="G21" s="9">
        <v>6</v>
      </c>
      <c r="H21" s="9">
        <v>120</v>
      </c>
      <c r="I21" s="10">
        <f t="shared" si="4"/>
        <v>1090</v>
      </c>
      <c r="J21" s="10">
        <f t="shared" si="5"/>
        <v>350</v>
      </c>
      <c r="K21" s="11" t="s">
        <v>49</v>
      </c>
      <c r="L21" s="11" t="s">
        <v>50</v>
      </c>
      <c r="M21" s="11" t="s">
        <v>58</v>
      </c>
      <c r="N21" s="12" t="s">
        <v>72</v>
      </c>
    </row>
    <row r="22" spans="1:14" x14ac:dyDescent="0.3">
      <c r="A22" s="8">
        <v>46263</v>
      </c>
      <c r="B22" s="9">
        <v>360</v>
      </c>
      <c r="C22" s="9">
        <v>20</v>
      </c>
      <c r="D22" s="9">
        <v>260</v>
      </c>
      <c r="E22" s="9">
        <v>40</v>
      </c>
      <c r="F22" s="9">
        <v>0</v>
      </c>
      <c r="G22" s="9">
        <v>0</v>
      </c>
      <c r="H22" s="9">
        <v>30</v>
      </c>
      <c r="I22" s="10">
        <f>IF(SUM(B22:F22,H22)=0,"",SUM(B22:F22,H22))</f>
        <v>710</v>
      </c>
      <c r="J22" s="10">
        <f>IF(I22="","",1440-I22)</f>
        <v>730</v>
      </c>
      <c r="K22" s="11" t="s">
        <v>57</v>
      </c>
      <c r="L22" s="11" t="s">
        <v>59</v>
      </c>
      <c r="M22" s="11" t="s">
        <v>57</v>
      </c>
      <c r="N22" s="12" t="s">
        <v>69</v>
      </c>
    </row>
    <row r="23" spans="1:14" x14ac:dyDescent="0.3">
      <c r="A23" s="8">
        <v>46264</v>
      </c>
      <c r="B23" s="9">
        <v>480</v>
      </c>
      <c r="C23" s="9">
        <v>40</v>
      </c>
      <c r="D23" s="9">
        <v>240</v>
      </c>
      <c r="E23" s="9">
        <v>30</v>
      </c>
      <c r="F23" s="9">
        <v>0</v>
      </c>
      <c r="G23" s="9">
        <v>0</v>
      </c>
      <c r="H23" s="9">
        <v>10</v>
      </c>
      <c r="I23" s="10">
        <f>IF(SUM(B23:F23,H23)=0,"",SUM(B23:F23,H23))</f>
        <v>800</v>
      </c>
      <c r="J23" s="10">
        <f>IF(I23="","",1440-I23)</f>
        <v>640</v>
      </c>
      <c r="K23" s="11" t="s">
        <v>56</v>
      </c>
      <c r="L23" s="11" t="s">
        <v>56</v>
      </c>
      <c r="M23" s="11" t="s">
        <v>51</v>
      </c>
      <c r="N23" s="12" t="s">
        <v>70</v>
      </c>
    </row>
    <row r="24" spans="1:14" x14ac:dyDescent="0.3">
      <c r="A24" s="8">
        <v>46265</v>
      </c>
      <c r="B24" s="9">
        <v>380</v>
      </c>
      <c r="C24" s="9">
        <v>80</v>
      </c>
      <c r="D24" s="9">
        <v>150</v>
      </c>
      <c r="E24" s="9">
        <v>45</v>
      </c>
      <c r="F24" s="9">
        <v>350</v>
      </c>
      <c r="G24" s="9">
        <v>7</v>
      </c>
      <c r="H24" s="9">
        <v>60</v>
      </c>
      <c r="I24" s="10">
        <f>IF(SUM(B24:F24,H24)=0,"",SUM(B24:F24,H24))</f>
        <v>1065</v>
      </c>
      <c r="J24" s="10">
        <f>IF(I24="","",1440-I24)</f>
        <v>375</v>
      </c>
      <c r="K24" s="11" t="s">
        <v>56</v>
      </c>
      <c r="L24" s="11" t="s">
        <v>56</v>
      </c>
      <c r="M24" s="11" t="s">
        <v>51</v>
      </c>
      <c r="N24" s="12" t="s">
        <v>71</v>
      </c>
    </row>
    <row r="25" spans="1:14" x14ac:dyDescent="0.3">
      <c r="A25" s="8">
        <v>46266</v>
      </c>
      <c r="B25" s="9">
        <v>420</v>
      </c>
      <c r="C25" s="9">
        <v>70</v>
      </c>
      <c r="D25" s="9"/>
      <c r="E25" s="9"/>
      <c r="F25" s="9">
        <v>250</v>
      </c>
      <c r="G25" s="9">
        <v>5</v>
      </c>
      <c r="H25" s="9"/>
      <c r="I25" s="10">
        <f>IF(SUM(B25:F25,H25)=0,"",SUM(B25:F25,H25))</f>
        <v>740</v>
      </c>
      <c r="J25" s="10">
        <f>IF(I25="","",1440-I25)</f>
        <v>700</v>
      </c>
      <c r="K25" s="11"/>
      <c r="L25" s="11"/>
      <c r="M25" s="11"/>
      <c r="N25" s="12"/>
    </row>
    <row r="26" spans="1:14" x14ac:dyDescent="0.3">
      <c r="A26" s="8">
        <v>46269</v>
      </c>
      <c r="B26" s="9">
        <v>340</v>
      </c>
      <c r="C26" s="9">
        <v>80</v>
      </c>
      <c r="D26" s="9"/>
      <c r="E26" s="9"/>
      <c r="F26" s="9">
        <v>300</v>
      </c>
      <c r="G26" s="9">
        <v>6</v>
      </c>
      <c r="H26" s="9"/>
      <c r="I26" s="10">
        <f>IF(SUM(B26:F26,H26)=0,"",SUM(B26:F26,H26))</f>
        <v>720</v>
      </c>
      <c r="J26" s="10">
        <f>IF(I26="","",1440-I26)</f>
        <v>720</v>
      </c>
      <c r="K26" s="11"/>
      <c r="L26" s="11"/>
      <c r="M26" s="11"/>
      <c r="N26" s="12"/>
    </row>
    <row r="27" spans="1:14" x14ac:dyDescent="0.3">
      <c r="A27" s="8">
        <v>46270</v>
      </c>
      <c r="B27" s="9">
        <v>420</v>
      </c>
      <c r="C27" s="9">
        <v>80</v>
      </c>
      <c r="D27" s="9"/>
      <c r="E27" s="9"/>
      <c r="F27" s="9">
        <v>0</v>
      </c>
      <c r="G27" s="9">
        <v>0</v>
      </c>
      <c r="H27" s="9"/>
      <c r="I27" s="10">
        <f>IF(SUM(B27:F27,H27)=0,"",SUM(B27:F27,H27))</f>
        <v>500</v>
      </c>
      <c r="J27" s="10">
        <f>IF(I27="","",1440-I27)</f>
        <v>940</v>
      </c>
      <c r="K27" s="11"/>
      <c r="L27" s="11"/>
      <c r="M27" s="11"/>
      <c r="N27" s="12"/>
    </row>
    <row r="28" spans="1:14" x14ac:dyDescent="0.3">
      <c r="A28" s="8">
        <v>46271</v>
      </c>
      <c r="B28" s="9">
        <v>440</v>
      </c>
      <c r="C28" s="9">
        <v>80</v>
      </c>
      <c r="D28" s="9"/>
      <c r="E28" s="9"/>
      <c r="F28" s="9">
        <v>0</v>
      </c>
      <c r="G28" s="9">
        <v>0</v>
      </c>
      <c r="H28" s="9"/>
      <c r="I28" s="10">
        <f>IF(SUM(B28:F28,H28)=0,"",SUM(B28:F28,H28))</f>
        <v>520</v>
      </c>
      <c r="J28" s="10">
        <f>IF(I28="","",1440-I28)</f>
        <v>920</v>
      </c>
      <c r="K28" s="11"/>
      <c r="L28" s="11"/>
      <c r="M28" s="11"/>
      <c r="N28" s="12"/>
    </row>
    <row r="29" spans="1:14" x14ac:dyDescent="0.3">
      <c r="A29" s="8">
        <v>46272</v>
      </c>
      <c r="B29" s="9">
        <v>410</v>
      </c>
      <c r="C29" s="9">
        <v>80</v>
      </c>
      <c r="D29" s="9"/>
      <c r="E29" s="9"/>
      <c r="F29" s="9">
        <v>350</v>
      </c>
      <c r="G29" s="9">
        <v>7</v>
      </c>
      <c r="H29" s="9"/>
      <c r="I29" s="10">
        <f>IF(SUM(B29:F29,H29)=0,"",SUM(B29:F29,H29))</f>
        <v>840</v>
      </c>
      <c r="J29" s="10">
        <f>IF(I29="","",1440-I29)</f>
        <v>600</v>
      </c>
      <c r="K29" s="11"/>
      <c r="L29" s="11"/>
      <c r="M29" s="11"/>
      <c r="N29" s="12"/>
    </row>
    <row r="30" spans="1:14" x14ac:dyDescent="0.3">
      <c r="A30" s="8">
        <v>46273</v>
      </c>
      <c r="B30" s="9">
        <v>340</v>
      </c>
      <c r="C30" s="9">
        <v>80</v>
      </c>
      <c r="D30" s="9"/>
      <c r="E30" s="9"/>
      <c r="F30" s="9">
        <v>250</v>
      </c>
      <c r="G30" s="9">
        <v>5</v>
      </c>
      <c r="H30" s="9"/>
      <c r="I30" s="10">
        <f>IF(SUM(B30:F30,H30)=0,"",SUM(B30:F30,H30))</f>
        <v>670</v>
      </c>
      <c r="J30" s="10">
        <f>IF(I30="","",1440-I30)</f>
        <v>770</v>
      </c>
      <c r="K30" s="11"/>
      <c r="L30" s="11"/>
      <c r="M30" s="11"/>
      <c r="N30" s="12"/>
    </row>
    <row r="31" spans="1:14" x14ac:dyDescent="0.3">
      <c r="A31" s="8">
        <v>46275</v>
      </c>
      <c r="B31" s="9">
        <v>360</v>
      </c>
      <c r="C31" s="9">
        <v>80</v>
      </c>
      <c r="D31" s="9"/>
      <c r="E31" s="9"/>
      <c r="F31" s="9">
        <v>250</v>
      </c>
      <c r="G31" s="9">
        <v>5</v>
      </c>
      <c r="H31" s="9"/>
      <c r="I31" s="10">
        <f>IF(SUM(B31:F31,H31)=0,"",SUM(B31:F31,H31))</f>
        <v>690</v>
      </c>
      <c r="J31" s="10">
        <f>IF(I31="","",1440-I31)</f>
        <v>750</v>
      </c>
      <c r="K31" s="11"/>
      <c r="L31" s="11"/>
      <c r="M31" s="11"/>
      <c r="N31" s="12"/>
    </row>
    <row r="32" spans="1:14" x14ac:dyDescent="0.3">
      <c r="A32" s="8">
        <v>46276</v>
      </c>
      <c r="B32" s="9">
        <v>280</v>
      </c>
      <c r="C32" s="9">
        <v>80</v>
      </c>
      <c r="D32" s="9"/>
      <c r="E32" s="9"/>
      <c r="F32" s="9">
        <v>300</v>
      </c>
      <c r="G32" s="9">
        <v>6</v>
      </c>
      <c r="H32" s="9"/>
      <c r="I32" s="10">
        <f>IF(SUM(B32:F32,H32)=0,"",SUM(B32:F32,H32))</f>
        <v>660</v>
      </c>
      <c r="J32" s="10">
        <f>IF(I32="","",1440-I32)</f>
        <v>780</v>
      </c>
      <c r="K32" s="11"/>
      <c r="L32" s="11"/>
      <c r="M32" s="11"/>
      <c r="N32" s="12"/>
    </row>
    <row r="33" spans="1:14" x14ac:dyDescent="0.3">
      <c r="A33" s="8">
        <v>46277</v>
      </c>
      <c r="B33" s="9">
        <v>120</v>
      </c>
      <c r="C33" s="9">
        <v>210</v>
      </c>
      <c r="D33" s="9">
        <v>0</v>
      </c>
      <c r="E33" s="9">
        <v>0</v>
      </c>
      <c r="F33" s="9">
        <v>0</v>
      </c>
      <c r="G33" s="9">
        <v>0</v>
      </c>
      <c r="H33" s="9">
        <v>150</v>
      </c>
      <c r="I33" s="10">
        <f>IF(SUM(B33:F33,H33)=0,"",SUM(B33:F33,H33))</f>
        <v>480</v>
      </c>
      <c r="J33" s="10">
        <f>IF(I33="","",1440-I33)</f>
        <v>960</v>
      </c>
      <c r="K33" s="11" t="s">
        <v>62</v>
      </c>
      <c r="L33" s="11" t="s">
        <v>63</v>
      </c>
      <c r="M33" s="11" t="s">
        <v>58</v>
      </c>
      <c r="N33" s="12" t="s">
        <v>64</v>
      </c>
    </row>
    <row r="34" spans="1:14" x14ac:dyDescent="0.3">
      <c r="A34" s="8">
        <v>46278</v>
      </c>
      <c r="B34" s="9">
        <v>280</v>
      </c>
      <c r="C34" s="9">
        <v>150</v>
      </c>
      <c r="D34" s="9">
        <v>0</v>
      </c>
      <c r="E34" s="9">
        <v>0</v>
      </c>
      <c r="F34" s="9">
        <v>0</v>
      </c>
      <c r="G34" s="9">
        <v>0</v>
      </c>
      <c r="H34" s="9">
        <v>90</v>
      </c>
      <c r="I34" s="10">
        <f>IF(SUM(B34:F34,H34)=0,"",SUM(B34:F34,H34))</f>
        <v>520</v>
      </c>
      <c r="J34" s="10">
        <f>IF(I34="","",1440-I34)</f>
        <v>920</v>
      </c>
      <c r="K34" s="11" t="s">
        <v>49</v>
      </c>
      <c r="L34" s="11" t="s">
        <v>50</v>
      </c>
      <c r="M34" s="11" t="s">
        <v>51</v>
      </c>
      <c r="N34" s="12" t="s">
        <v>65</v>
      </c>
    </row>
    <row r="35" spans="1:14" x14ac:dyDescent="0.3">
      <c r="A35" s="8">
        <v>46279</v>
      </c>
      <c r="B35" s="9">
        <v>350</v>
      </c>
      <c r="C35" s="9">
        <v>80</v>
      </c>
      <c r="D35" s="9"/>
      <c r="E35" s="9"/>
      <c r="F35" s="9">
        <v>350</v>
      </c>
      <c r="G35" s="9">
        <v>7</v>
      </c>
      <c r="H35" s="9"/>
      <c r="I35" s="10">
        <f>IF(SUM(B35:F35,H35)=0,"",SUM(B35:F35,H35))</f>
        <v>780</v>
      </c>
      <c r="J35" s="10">
        <f>IF(I35="","",1440-I35)</f>
        <v>660</v>
      </c>
      <c r="K35" s="11"/>
      <c r="L35" s="11"/>
      <c r="M35" s="11"/>
      <c r="N35" s="12"/>
    </row>
    <row r="36" spans="1:14" x14ac:dyDescent="0.3">
      <c r="A36" s="8">
        <v>46280</v>
      </c>
      <c r="B36" s="9">
        <v>360</v>
      </c>
      <c r="C36" s="9">
        <v>80</v>
      </c>
      <c r="D36" s="9"/>
      <c r="E36" s="9"/>
      <c r="F36" s="9">
        <v>250</v>
      </c>
      <c r="G36" s="9">
        <v>5</v>
      </c>
      <c r="H36" s="9"/>
      <c r="I36" s="10">
        <f>IF(SUM(B36:F36,H36)=0,"",SUM(B36:F36,H36))</f>
        <v>690</v>
      </c>
      <c r="J36" s="10">
        <f>IF(I36="","",1440-I36)</f>
        <v>750</v>
      </c>
      <c r="K36" s="11"/>
      <c r="L36" s="11"/>
      <c r="M36" s="11"/>
      <c r="N36" s="12"/>
    </row>
    <row r="37" spans="1:14" x14ac:dyDescent="0.3">
      <c r="A37" s="8">
        <v>46281</v>
      </c>
      <c r="B37" s="9">
        <v>320</v>
      </c>
      <c r="C37" s="9">
        <v>80</v>
      </c>
      <c r="D37" s="9"/>
      <c r="E37" s="9"/>
      <c r="F37" s="9">
        <v>250</v>
      </c>
      <c r="G37" s="9">
        <v>5</v>
      </c>
      <c r="H37" s="9"/>
      <c r="I37" s="10">
        <f>IF(SUM(B37:F37,H37)=0,"",SUM(B37:F37,H37))</f>
        <v>650</v>
      </c>
      <c r="J37" s="10">
        <f>IF(I37="","",1440-I37)</f>
        <v>790</v>
      </c>
      <c r="K37" s="11"/>
      <c r="L37" s="11"/>
      <c r="M37" s="11"/>
      <c r="N37" s="12"/>
    </row>
    <row r="38" spans="1:14" x14ac:dyDescent="0.3">
      <c r="A38" s="8">
        <v>46282</v>
      </c>
      <c r="B38" s="9">
        <v>320</v>
      </c>
      <c r="C38" s="9">
        <v>80</v>
      </c>
      <c r="D38" s="9"/>
      <c r="E38" s="9"/>
      <c r="F38" s="9">
        <v>250</v>
      </c>
      <c r="G38" s="9">
        <v>5</v>
      </c>
      <c r="H38" s="9"/>
      <c r="I38" s="10">
        <f>IF(SUM(B38:F38,H38)=0,"",SUM(B38:F38,H38))</f>
        <v>650</v>
      </c>
      <c r="J38" s="10">
        <f>IF(I38="","",1440-I38)</f>
        <v>790</v>
      </c>
      <c r="K38" s="11"/>
      <c r="L38" s="11"/>
      <c r="M38" s="11"/>
      <c r="N38" s="12"/>
    </row>
    <row r="39" spans="1:14" x14ac:dyDescent="0.3">
      <c r="A39" s="8">
        <v>46284</v>
      </c>
      <c r="B39" s="9">
        <v>300</v>
      </c>
      <c r="C39" s="9">
        <v>60</v>
      </c>
      <c r="D39" s="9">
        <v>120</v>
      </c>
      <c r="E39" s="9">
        <v>40</v>
      </c>
      <c r="F39" s="9">
        <v>60</v>
      </c>
      <c r="G39" s="9">
        <v>1</v>
      </c>
      <c r="H39" s="9">
        <v>150</v>
      </c>
      <c r="I39" s="10">
        <f>IF(SUM(B39:F39,H39)=0,"",SUM(B39:F39,H39))</f>
        <v>730</v>
      </c>
      <c r="J39" s="10">
        <f>IF(I39="","",1440-I39)</f>
        <v>710</v>
      </c>
      <c r="K39" s="11" t="s">
        <v>56</v>
      </c>
      <c r="L39" s="11" t="s">
        <v>59</v>
      </c>
      <c r="M39" s="11" t="s">
        <v>51</v>
      </c>
      <c r="N39" s="12" t="s">
        <v>60</v>
      </c>
    </row>
    <row r="40" spans="1:14" x14ac:dyDescent="0.3">
      <c r="A40" s="8">
        <v>46285</v>
      </c>
      <c r="B40" s="9">
        <v>540</v>
      </c>
      <c r="C40" s="9">
        <v>10</v>
      </c>
      <c r="D40" s="9">
        <v>180</v>
      </c>
      <c r="E40" s="9">
        <v>30</v>
      </c>
      <c r="F40" s="9">
        <v>0</v>
      </c>
      <c r="G40" s="9">
        <v>0</v>
      </c>
      <c r="H40" s="9">
        <v>120</v>
      </c>
      <c r="I40" s="10">
        <f>IF(SUM(B40:F40,H40)=0,"",SUM(B40:F40,H40))</f>
        <v>880</v>
      </c>
      <c r="J40" s="10">
        <f>IF(I40="","",1440-I40)</f>
        <v>560</v>
      </c>
      <c r="K40" s="11" t="s">
        <v>49</v>
      </c>
      <c r="L40" s="11" t="s">
        <v>56</v>
      </c>
      <c r="M40" s="11" t="s">
        <v>51</v>
      </c>
      <c r="N40" s="12" t="s">
        <v>61</v>
      </c>
    </row>
    <row r="41" spans="1:14" x14ac:dyDescent="0.3">
      <c r="A41" s="8">
        <v>46286</v>
      </c>
      <c r="B41" s="9">
        <v>360</v>
      </c>
      <c r="C41" s="9">
        <v>70</v>
      </c>
      <c r="D41" s="9">
        <v>240</v>
      </c>
      <c r="E41" s="9">
        <v>80</v>
      </c>
      <c r="F41" s="9">
        <v>350</v>
      </c>
      <c r="G41" s="9">
        <v>7</v>
      </c>
      <c r="H41" s="9">
        <v>30</v>
      </c>
      <c r="I41" s="10">
        <f>IF(SUM(B41:F41,H41)=0,"",SUM(B41:F41,H41))</f>
        <v>1130</v>
      </c>
      <c r="J41" s="10">
        <f>IF(I41="","",1440-I41)</f>
        <v>310</v>
      </c>
      <c r="K41" s="11" t="s">
        <v>49</v>
      </c>
      <c r="L41" s="11" t="s">
        <v>50</v>
      </c>
      <c r="M41" s="11" t="s">
        <v>51</v>
      </c>
      <c r="N41" s="12"/>
    </row>
    <row r="42" spans="1:14" ht="28.8" x14ac:dyDescent="0.3">
      <c r="A42" s="8">
        <v>46287</v>
      </c>
      <c r="B42" s="9">
        <v>420</v>
      </c>
      <c r="C42" s="9">
        <v>80</v>
      </c>
      <c r="D42" s="9">
        <v>180</v>
      </c>
      <c r="E42" s="9">
        <v>30</v>
      </c>
      <c r="F42" s="9">
        <v>250</v>
      </c>
      <c r="G42" s="9">
        <v>5</v>
      </c>
      <c r="H42" s="9">
        <v>20</v>
      </c>
      <c r="I42" s="10">
        <f>IF(SUM(B42:F42,H42)=0,"",SUM(B42:F42,H42))</f>
        <v>980</v>
      </c>
      <c r="J42" s="10">
        <f>IF(I42="","",1440-I42)</f>
        <v>460</v>
      </c>
      <c r="K42" s="11" t="s">
        <v>49</v>
      </c>
      <c r="L42" s="11" t="s">
        <v>59</v>
      </c>
      <c r="M42" s="11" t="s">
        <v>51</v>
      </c>
      <c r="N42" s="12" t="s">
        <v>66</v>
      </c>
    </row>
    <row r="43" spans="1:14" ht="28.8" x14ac:dyDescent="0.3">
      <c r="A43" s="8">
        <v>46288</v>
      </c>
      <c r="B43" s="9">
        <v>420</v>
      </c>
      <c r="C43" s="9">
        <v>80</v>
      </c>
      <c r="D43" s="9">
        <v>150</v>
      </c>
      <c r="E43" s="9">
        <v>60</v>
      </c>
      <c r="F43" s="9">
        <v>240</v>
      </c>
      <c r="G43" s="9">
        <v>4</v>
      </c>
      <c r="H43" s="9">
        <v>30</v>
      </c>
      <c r="I43" s="10">
        <f>IF(SUM(B43:F43,H43)=0,"",SUM(B43:F43,H43))</f>
        <v>980</v>
      </c>
      <c r="J43" s="10">
        <f>IF(I43="","",1440-I43)</f>
        <v>460</v>
      </c>
      <c r="K43" s="11" t="s">
        <v>56</v>
      </c>
      <c r="L43" s="11" t="s">
        <v>56</v>
      </c>
      <c r="M43" s="11" t="s">
        <v>57</v>
      </c>
      <c r="N43" s="12" t="s">
        <v>73</v>
      </c>
    </row>
    <row r="44" spans="1:14" x14ac:dyDescent="0.3">
      <c r="A44" s="8">
        <v>46289</v>
      </c>
      <c r="B44" s="9"/>
      <c r="C44" s="9"/>
      <c r="D44" s="9"/>
      <c r="E44" s="9"/>
      <c r="F44" s="9"/>
      <c r="G44" s="9"/>
      <c r="H44" s="9"/>
      <c r="I44" s="10" t="str">
        <f>IF(SUM(B44:F44,H44)=0,"",SUM(B44:F44,H44))</f>
        <v/>
      </c>
      <c r="J44" s="10" t="str">
        <f>IF(I44="","",1440-I44)</f>
        <v/>
      </c>
      <c r="K44" s="11"/>
      <c r="L44" s="11"/>
      <c r="M44" s="11"/>
      <c r="N44" s="12"/>
    </row>
    <row r="45" spans="1:14" x14ac:dyDescent="0.3">
      <c r="A45" s="8">
        <v>46290</v>
      </c>
      <c r="B45" s="9"/>
      <c r="C45" s="9"/>
      <c r="D45" s="9"/>
      <c r="E45" s="9"/>
      <c r="F45" s="9"/>
      <c r="G45" s="9"/>
      <c r="H45" s="9"/>
      <c r="I45" s="10" t="str">
        <f>IF(SUM(B45:F45,H45)=0,"",SUM(B45:F45,H45))</f>
        <v/>
      </c>
      <c r="J45" s="10" t="str">
        <f>IF(I45="","",1440-I45)</f>
        <v/>
      </c>
      <c r="K45" s="11"/>
      <c r="L45" s="11"/>
      <c r="M45" s="11"/>
      <c r="N45" s="12"/>
    </row>
    <row r="46" spans="1:14" x14ac:dyDescent="0.3">
      <c r="A46" s="8">
        <v>46291</v>
      </c>
      <c r="B46" s="9"/>
      <c r="C46" s="9"/>
      <c r="D46" s="9"/>
      <c r="E46" s="9"/>
      <c r="F46" s="9"/>
      <c r="G46" s="9"/>
      <c r="H46" s="9"/>
      <c r="I46" s="10" t="str">
        <f>IF(SUM(B46:F46,H46)=0,"",SUM(B46:F46,H46))</f>
        <v/>
      </c>
      <c r="J46" s="10" t="str">
        <f>IF(I46="","",1440-I46)</f>
        <v/>
      </c>
      <c r="K46" s="11"/>
      <c r="L46" s="11"/>
      <c r="M46" s="11"/>
      <c r="N46" s="12"/>
    </row>
    <row r="47" spans="1:14" x14ac:dyDescent="0.3">
      <c r="A47" s="8">
        <v>46292</v>
      </c>
      <c r="B47" s="9"/>
      <c r="C47" s="9"/>
      <c r="D47" s="9"/>
      <c r="E47" s="9"/>
      <c r="F47" s="9"/>
      <c r="G47" s="9"/>
      <c r="H47" s="9"/>
      <c r="I47" s="10" t="str">
        <f>IF(SUM(B47:F47,H47)=0,"",SUM(B47:F47,H47))</f>
        <v/>
      </c>
      <c r="J47" s="10" t="str">
        <f>IF(I47="","",1440-I47)</f>
        <v/>
      </c>
      <c r="K47" s="11"/>
      <c r="L47" s="11"/>
      <c r="M47" s="11"/>
      <c r="N47" s="12"/>
    </row>
    <row r="48" spans="1:14" x14ac:dyDescent="0.3">
      <c r="A48" s="8">
        <v>46293</v>
      </c>
      <c r="B48" s="9"/>
      <c r="C48" s="9"/>
      <c r="D48" s="9"/>
      <c r="E48" s="9"/>
      <c r="F48" s="9"/>
      <c r="G48" s="9"/>
      <c r="H48" s="9"/>
      <c r="I48" s="10" t="str">
        <f>IF(SUM(B48:F48,H48)=0,"",SUM(B48:F48,H48))</f>
        <v/>
      </c>
      <c r="J48" s="10" t="str">
        <f>IF(I48="","",1440-I48)</f>
        <v/>
      </c>
      <c r="K48" s="11"/>
      <c r="L48" s="11"/>
      <c r="M48" s="11"/>
      <c r="N48" s="12"/>
    </row>
    <row r="49" spans="1:14" x14ac:dyDescent="0.3">
      <c r="A49" s="8">
        <v>46294</v>
      </c>
      <c r="B49" s="9"/>
      <c r="C49" s="9"/>
      <c r="D49" s="9"/>
      <c r="E49" s="9"/>
      <c r="F49" s="9"/>
      <c r="G49" s="9"/>
      <c r="H49" s="9"/>
      <c r="I49" s="10" t="str">
        <f>IF(SUM(B49:F49,H49)=0,"",SUM(B49:F49,H49))</f>
        <v/>
      </c>
      <c r="J49" s="10" t="str">
        <f>IF(I49="","",1440-I49)</f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ref="I50:I109" si="6">IF(SUM(B50:F50,H50)=0,"",SUM(B50:F50,H50))</f>
        <v/>
      </c>
      <c r="J50" s="10" t="str">
        <f t="shared" ref="J50:J109" si="7">IF(I50="","",1440-I50)</f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6"/>
        <v/>
      </c>
      <c r="J51" s="10" t="str">
        <f t="shared" si="7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6"/>
        <v/>
      </c>
      <c r="J52" s="10" t="str">
        <f t="shared" si="7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6"/>
        <v/>
      </c>
      <c r="J53" s="10" t="str">
        <f t="shared" si="7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6"/>
        <v/>
      </c>
      <c r="J54" s="10" t="str">
        <f t="shared" si="7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6"/>
        <v/>
      </c>
      <c r="J55" s="10" t="str">
        <f t="shared" si="7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6"/>
        <v/>
      </c>
      <c r="J56" s="10" t="str">
        <f t="shared" si="7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6"/>
        <v/>
      </c>
      <c r="J57" s="10" t="str">
        <f t="shared" si="7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6"/>
        <v/>
      </c>
      <c r="J58" s="10" t="str">
        <f t="shared" si="7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6"/>
        <v/>
      </c>
      <c r="J59" s="10" t="str">
        <f t="shared" si="7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6"/>
        <v/>
      </c>
      <c r="J60" s="10" t="str">
        <f t="shared" si="7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6"/>
        <v/>
      </c>
      <c r="J61" s="10" t="str">
        <f t="shared" si="7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6"/>
        <v/>
      </c>
      <c r="J62" s="10" t="str">
        <f t="shared" si="7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6"/>
        <v/>
      </c>
      <c r="J63" s="10" t="str">
        <f t="shared" si="7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6"/>
        <v/>
      </c>
      <c r="J64" s="10" t="str">
        <f t="shared" si="7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6"/>
        <v/>
      </c>
      <c r="J65" s="10" t="str">
        <f t="shared" si="7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6"/>
        <v/>
      </c>
      <c r="J66" s="10" t="str">
        <f t="shared" si="7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6"/>
        <v/>
      </c>
      <c r="J67" s="10" t="str">
        <f t="shared" si="7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6"/>
        <v/>
      </c>
      <c r="J68" s="10" t="str">
        <f t="shared" si="7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6"/>
        <v/>
      </c>
      <c r="J69" s="10" t="str">
        <f t="shared" si="7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6"/>
        <v/>
      </c>
      <c r="J70" s="10" t="str">
        <f t="shared" si="7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6"/>
        <v/>
      </c>
      <c r="J71" s="10" t="str">
        <f t="shared" si="7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6"/>
        <v/>
      </c>
      <c r="J72" s="10" t="str">
        <f t="shared" si="7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6"/>
        <v/>
      </c>
      <c r="J73" s="10" t="str">
        <f t="shared" si="7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6"/>
        <v/>
      </c>
      <c r="J74" s="10" t="str">
        <f t="shared" si="7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6"/>
        <v/>
      </c>
      <c r="J75" s="10" t="str">
        <f t="shared" si="7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6"/>
        <v/>
      </c>
      <c r="J76" s="10" t="str">
        <f t="shared" si="7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6"/>
        <v/>
      </c>
      <c r="J77" s="10" t="str">
        <f t="shared" si="7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6"/>
        <v/>
      </c>
      <c r="J78" s="10" t="str">
        <f t="shared" si="7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6"/>
        <v/>
      </c>
      <c r="J79" s="10" t="str">
        <f t="shared" si="7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6"/>
        <v/>
      </c>
      <c r="J80" s="10" t="str">
        <f t="shared" si="7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6"/>
        <v/>
      </c>
      <c r="J81" s="10" t="str">
        <f t="shared" si="7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6"/>
        <v/>
      </c>
      <c r="J82" s="10" t="str">
        <f t="shared" si="7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6"/>
        <v/>
      </c>
      <c r="J83" s="10" t="str">
        <f t="shared" si="7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6"/>
        <v/>
      </c>
      <c r="J84" s="10" t="str">
        <f t="shared" si="7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6"/>
        <v/>
      </c>
      <c r="J85" s="10" t="str">
        <f t="shared" si="7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6"/>
        <v/>
      </c>
      <c r="J86" s="10" t="str">
        <f t="shared" si="7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6"/>
        <v/>
      </c>
      <c r="J87" s="10" t="str">
        <f t="shared" si="7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6"/>
        <v/>
      </c>
      <c r="J88" s="10" t="str">
        <f t="shared" si="7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6"/>
        <v/>
      </c>
      <c r="J89" s="10" t="str">
        <f t="shared" si="7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6"/>
        <v/>
      </c>
      <c r="J90" s="10" t="str">
        <f t="shared" si="7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6"/>
        <v/>
      </c>
      <c r="J91" s="10" t="str">
        <f t="shared" si="7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6"/>
        <v/>
      </c>
      <c r="J92" s="10" t="str">
        <f t="shared" si="7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6"/>
        <v/>
      </c>
      <c r="J93" s="10" t="str">
        <f t="shared" si="7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6"/>
        <v/>
      </c>
      <c r="J94" s="10" t="str">
        <f t="shared" si="7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6"/>
        <v/>
      </c>
      <c r="J95" s="10" t="str">
        <f t="shared" si="7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6"/>
        <v/>
      </c>
      <c r="J96" s="10" t="str">
        <f t="shared" si="7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6"/>
        <v/>
      </c>
      <c r="J97" s="10" t="str">
        <f t="shared" si="7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6"/>
        <v/>
      </c>
      <c r="J98" s="10" t="str">
        <f t="shared" si="7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6"/>
        <v/>
      </c>
      <c r="J99" s="10" t="str">
        <f t="shared" si="7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6"/>
        <v/>
      </c>
      <c r="J100" s="10" t="str">
        <f t="shared" si="7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6"/>
        <v/>
      </c>
      <c r="J101" s="10" t="str">
        <f t="shared" si="7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6"/>
        <v/>
      </c>
      <c r="J102" s="10" t="str">
        <f t="shared" si="7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6"/>
        <v/>
      </c>
      <c r="J103" s="10" t="str">
        <f t="shared" si="7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6"/>
        <v/>
      </c>
      <c r="J104" s="10" t="str">
        <f t="shared" si="7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6"/>
        <v/>
      </c>
      <c r="J105" s="10" t="str">
        <f t="shared" si="7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6"/>
        <v/>
      </c>
      <c r="J106" s="10" t="str">
        <f t="shared" si="7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6"/>
        <v/>
      </c>
      <c r="J107" s="10" t="str">
        <f t="shared" si="7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6"/>
        <v/>
      </c>
      <c r="J108" s="10" t="str">
        <f t="shared" si="7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6"/>
        <v/>
      </c>
      <c r="J109" s="10" t="str">
        <f t="shared" si="7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ref="I110:I121" si="8">IF(SUM(B110:F110,H110)=0,"",SUM(B110:F110,H110))</f>
        <v/>
      </c>
      <c r="J110" s="10" t="str">
        <f t="shared" ref="J110:J121" si="9">IF(I110="","",1440-I110)</f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8"/>
        <v/>
      </c>
      <c r="J111" s="10" t="str">
        <f t="shared" si="9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8"/>
        <v/>
      </c>
      <c r="J112" s="10" t="str">
        <f t="shared" si="9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8"/>
        <v/>
      </c>
      <c r="J113" s="10" t="str">
        <f t="shared" si="9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8"/>
        <v/>
      </c>
      <c r="J114" s="10" t="str">
        <f t="shared" si="9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8"/>
        <v/>
      </c>
      <c r="J115" s="10" t="str">
        <f t="shared" si="9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8"/>
        <v/>
      </c>
      <c r="J116" s="10" t="str">
        <f t="shared" si="9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8"/>
        <v/>
      </c>
      <c r="J117" s="10" t="str">
        <f t="shared" si="9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8"/>
        <v/>
      </c>
      <c r="J118" s="10" t="str">
        <f t="shared" si="9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8"/>
        <v/>
      </c>
      <c r="J119" s="10" t="str">
        <f t="shared" si="9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8"/>
        <v/>
      </c>
      <c r="J120" s="10" t="str">
        <f t="shared" si="9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8"/>
        <v/>
      </c>
      <c r="J121" s="10" t="str">
        <f t="shared" si="9"/>
        <v/>
      </c>
      <c r="K121" s="11"/>
      <c r="L121" s="11"/>
      <c r="M12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12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21" xr:uid="{00000000-0002-0000-0100-000000000000}">
      <formula1>"Excellent,Good,Neutral,Low,Stressed"</formula1>
      <formula2>0</formula2>
    </dataValidation>
    <dataValidation type="list" allowBlank="1" prompt="Select today's satisfaction level" sqref="L6:L12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2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Shazin Adinan</cp:lastModifiedBy>
  <cp:revision>0</cp:revision>
  <dcterms:created xsi:type="dcterms:W3CDTF">2026-07-24T11:49:30Z</dcterms:created>
  <dcterms:modified xsi:type="dcterms:W3CDTF">2026-09-23T14:11:54Z</dcterms:modified>
  <dc:language>en-US</dc:language>
</cp:coreProperties>
</file>