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52B6A69E-70A7-445E-994E-A223C182A75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8" i="2" l="1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42" i="2"/>
  <c r="J42" i="2" s="1"/>
  <c r="I38" i="2"/>
  <c r="J38" i="2" s="1"/>
  <c r="I39" i="2"/>
  <c r="J39" i="2" s="1"/>
  <c r="I40" i="2"/>
  <c r="J40" i="2" s="1"/>
  <c r="I41" i="2"/>
  <c r="J41" i="2" s="1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<sst xmlns="http://schemas.openxmlformats.org/spreadsheetml/2006/main" count="262" uniqueCount="111">
  <si>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</si>
  <si>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</si>
  <si>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</si>
  <si>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</si>
  <si>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</si>
  <si>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</si>
  <si>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</si>
  <si>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</si>
  <si>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</si>
  <si>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</si>
  <si>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</si>
  <si>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</si>
  <si>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</si>
  <si>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</si>
  <si>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</si>
  <si>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</si>
  <si>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</si>
  <si>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</si>
  <si>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</si>
  <si>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</si>
  <si>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</si>
  <si>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</si>
  <si>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</si>
  <si>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</si>
  <si>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</si>
  <si>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</si>
  <si>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</si>
  <si>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</si>
  <si>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</si>
  <si>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</si>
  <si>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</si>
  <si>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</si>
  <si>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</si>
  <si>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</si>
  <si>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</si>
  <si>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</si>
  <si>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</si>
  <si>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</si>
  <si>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</si>
  <si>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</si>
  <si>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</si>
  <si>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</si>
  <si>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</si>
  <si>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</si>
  <si>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</si>
  <si>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</si>
  <si>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</si>
  <si>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</si>
  <si>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</si>
  <si>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</si>
  <si>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</si>
  <si>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</si>
  <si>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</si>
  <si>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</si>
  <si>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</si>
  <si>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</si>
  <si>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</si>
  <si>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</si>
  <si>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</si>
  <si>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</si>
  <si>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</si>
  <si>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</si>
  <si>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</si>
  <si>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</si>
  <si>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</si>
  <si>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</si>
  <si>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</si>
  <si>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</si>
  <si>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</si>
  <si>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</si>
  <si>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</si>
  <si>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</si>
  <si>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</si>
  <si>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</si>
  <si>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</si>
  <si>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</si>
  <si>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</si>
  <si>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</si>
  <si>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</si>
  <si>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</si>
  <si>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</si>
  <si>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</si>
  <si>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</si>
  <si>
    <t>Focused on completing my pending academic work.</t>
  </si>
  <si>
    <t>Focused on improving my study routine.</t>
  </si>
  <si>
    <t>Reviewed the topics covered in class.</t>
  </si>
  <si>
    <t>Practiced Python and worked on improving my coding skills.</t>
  </si>
  <si>
    <t>Started preparing for my upcoming examination.</t>
  </si>
  <si>
    <t>Had a good and productive day.</t>
  </si>
  <si>
    <t>Played football and enjoyed some time away from academics.</t>
  </si>
  <si>
    <t>Revised the topics I studied recently.</t>
  </si>
  <si>
    <t xml:space="preserve">After 2 Months I am going to my home. </t>
  </si>
  <si>
    <t>spend whole day in train</t>
  </si>
  <si>
    <t xml:space="preserve">Enjoyed every moment with my family </t>
  </si>
  <si>
    <t>completed my python minor project</t>
  </si>
  <si>
    <t>Spent the day following my routine and getting some study work done</t>
  </si>
  <si>
    <t>Continued working on academic tasks and kept up eith with the classes</t>
  </si>
  <si>
    <t>Worked on my studies and stayed consistent with my daily routine</t>
  </si>
  <si>
    <t>Had a slower day and focused on completing the important tasks.</t>
  </si>
  <si>
    <t>Continued with my regular studies and academic work.</t>
  </si>
  <si>
    <t>Spent the day balancing studies, routine, and some personal time.</t>
  </si>
  <si>
    <t>Took some time to rest and recover after a tiring week.</t>
  </si>
  <si>
    <t>Got back to my regular routine and focused on my studies.</t>
  </si>
  <si>
    <t>Started the month with a focus on my studies and academic work.</t>
  </si>
  <si>
    <t>Continued my regular study routine and worked on pending tasks.</t>
  </si>
  <si>
    <t>Spent the day keeping up with classes and reviewing my studies.</t>
  </si>
  <si>
    <t>Focused on completing my academic work before the weekend.</t>
  </si>
  <si>
    <t>Had a productive day and stayed consistent with my routine.</t>
  </si>
  <si>
    <t>Used the weekend to relax and prepare for the week ahead.</t>
  </si>
  <si>
    <t>Started the week by getting back into my regular study routine.</t>
  </si>
  <si>
    <t>Continued working on my classes and academic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</si>
</sst>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1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0"/>
  <sheetViews>
    <sheetView tabSelected="1" zoomScale="114" zoomScaleNormal="109" workbookViewId="0">
      <pane xSplit="1" ySplit="5" topLeftCell="H50" activePane="bottomRight" state="frozen"/>
      <selection pane="topRight" activeCell="B1" sqref="B1"/>
      <selection pane="bottomLeft" activeCell="A6" sqref="A6"/>
      <selection pane="bottomRight" activeCell="Q6" sqref="Q5:Q6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 t="s">
        <v>83</v>
      </c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 t="s">
        <v>95</v>
      </c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130</v>
      </c>
      <c r="F11" s="9">
        <v>250</v>
      </c>
      <c r="G11" s="9">
        <v>5</v>
      </c>
      <c r="H11" s="9">
        <v>60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56</v>
      </c>
      <c r="M11" s="11" t="s">
        <v>51</v>
      </c>
      <c r="N11" s="12" t="s">
        <v>96</v>
      </c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20</v>
      </c>
      <c r="I12" s="10">
        <f t="shared" si="0"/>
        <v>1020</v>
      </c>
      <c r="J12" s="10">
        <f t="shared" si="1"/>
        <v>420</v>
      </c>
      <c r="K12" s="11" t="s">
        <v>49</v>
      </c>
      <c r="L12" s="11" t="s">
        <v>56</v>
      </c>
      <c r="M12" s="11" t="s">
        <v>51</v>
      </c>
      <c r="N12" s="17" t="s">
        <v>97</v>
      </c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 t="s">
        <v>98</v>
      </c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80</v>
      </c>
      <c r="I14" s="10">
        <f t="shared" ref="I14:I18" si="2">IF(SUM(B14:F14,H14)=0,"",SUM(B14:F14,H14))</f>
        <v>1060</v>
      </c>
      <c r="J14" s="10">
        <f t="shared" ref="J14:J18" si="3">IF(I14="","",1440-I14)</f>
        <v>380</v>
      </c>
      <c r="K14" s="11" t="s">
        <v>49</v>
      </c>
      <c r="L14" s="11" t="s">
        <v>56</v>
      </c>
      <c r="M14" s="11" t="s">
        <v>51</v>
      </c>
      <c r="N14" s="12" t="s">
        <v>99</v>
      </c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 t="s">
        <v>100</v>
      </c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50</v>
      </c>
      <c r="F16" s="9">
        <v>0</v>
      </c>
      <c r="G16" s="9">
        <v>0</v>
      </c>
      <c r="H16" s="9">
        <v>30</v>
      </c>
      <c r="I16" s="10">
        <f t="shared" si="2"/>
        <v>860</v>
      </c>
      <c r="J16" s="10">
        <f t="shared" si="3"/>
        <v>580</v>
      </c>
      <c r="K16" s="11" t="s">
        <v>57</v>
      </c>
      <c r="L16" s="11" t="s">
        <v>59</v>
      </c>
      <c r="M16" s="11" t="s">
        <v>57</v>
      </c>
      <c r="N16" s="12" t="s">
        <v>101</v>
      </c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 t="s">
        <v>102</v>
      </c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 t="s">
        <v>84</v>
      </c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120</v>
      </c>
      <c r="F22" s="9">
        <v>0</v>
      </c>
      <c r="G22" s="9">
        <v>0</v>
      </c>
      <c r="H22" s="9">
        <v>30</v>
      </c>
      <c r="I22" s="10">
        <f t="shared" ref="I22:I58" si="6">IF(SUM(B22:F22,H22)=0,"",SUM(B22:F22,H22))</f>
        <v>790</v>
      </c>
      <c r="J22" s="10">
        <f t="shared" ref="J22:J58" si="7">IF(I22="","",1440-I22)</f>
        <v>650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10</v>
      </c>
      <c r="F25" s="9">
        <v>250</v>
      </c>
      <c r="G25" s="9">
        <v>5</v>
      </c>
      <c r="H25" s="9">
        <v>40</v>
      </c>
      <c r="I25" s="10">
        <f t="shared" si="6"/>
        <v>860</v>
      </c>
      <c r="J25" s="10">
        <f t="shared" si="7"/>
        <v>580</v>
      </c>
      <c r="K25" s="11" t="s">
        <v>49</v>
      </c>
      <c r="L25" s="11" t="s">
        <v>56</v>
      </c>
      <c r="M25" s="11" t="s">
        <v>58</v>
      </c>
      <c r="N25" s="12" t="s">
        <v>103</v>
      </c>
    </row>
    <row r="26" spans="1:14" x14ac:dyDescent="0.3">
      <c r="A26" s="8">
        <v>46267</v>
      </c>
      <c r="B26" s="9">
        <v>360</v>
      </c>
      <c r="C26" s="9">
        <v>80</v>
      </c>
      <c r="D26" s="9">
        <v>200</v>
      </c>
      <c r="E26" s="9">
        <v>60</v>
      </c>
      <c r="F26" s="9">
        <v>200</v>
      </c>
      <c r="G26" s="9">
        <v>4</v>
      </c>
      <c r="H26" s="9">
        <v>20</v>
      </c>
      <c r="I26" s="10">
        <f t="shared" si="6"/>
        <v>920</v>
      </c>
      <c r="J26" s="10">
        <f t="shared" si="7"/>
        <v>520</v>
      </c>
      <c r="K26" s="11" t="s">
        <v>49</v>
      </c>
      <c r="L26" s="11" t="s">
        <v>56</v>
      </c>
      <c r="M26" s="11" t="s">
        <v>51</v>
      </c>
      <c r="N26" s="12" t="s">
        <v>104</v>
      </c>
    </row>
    <row r="27" spans="1:14" x14ac:dyDescent="0.3">
      <c r="A27" s="8">
        <v>46268</v>
      </c>
      <c r="B27" s="9">
        <v>360</v>
      </c>
      <c r="C27" s="9">
        <v>80</v>
      </c>
      <c r="D27" s="9">
        <v>120</v>
      </c>
      <c r="E27" s="9">
        <v>30</v>
      </c>
      <c r="F27" s="9">
        <v>250</v>
      </c>
      <c r="G27" s="9">
        <v>5</v>
      </c>
      <c r="H27" s="9">
        <v>30</v>
      </c>
      <c r="I27" s="10">
        <f t="shared" si="6"/>
        <v>870</v>
      </c>
      <c r="J27" s="10">
        <f t="shared" si="7"/>
        <v>570</v>
      </c>
      <c r="K27" s="11" t="s">
        <v>56</v>
      </c>
      <c r="L27" s="11" t="s">
        <v>56</v>
      </c>
      <c r="M27" s="11" t="s">
        <v>51</v>
      </c>
      <c r="N27" s="12" t="s">
        <v>105</v>
      </c>
    </row>
    <row r="28" spans="1:14" x14ac:dyDescent="0.3">
      <c r="A28" s="8">
        <v>46269</v>
      </c>
      <c r="B28" s="9">
        <v>340</v>
      </c>
      <c r="C28" s="9">
        <v>80</v>
      </c>
      <c r="D28" s="9">
        <v>200</v>
      </c>
      <c r="E28" s="9">
        <v>70</v>
      </c>
      <c r="F28" s="9">
        <v>300</v>
      </c>
      <c r="G28" s="9">
        <v>6</v>
      </c>
      <c r="H28" s="9">
        <v>0</v>
      </c>
      <c r="I28" s="10">
        <f t="shared" si="6"/>
        <v>990</v>
      </c>
      <c r="J28" s="10">
        <f t="shared" si="7"/>
        <v>450</v>
      </c>
      <c r="K28" s="11" t="s">
        <v>49</v>
      </c>
      <c r="L28" s="11" t="s">
        <v>56</v>
      </c>
      <c r="M28" s="11" t="s">
        <v>51</v>
      </c>
      <c r="N28" s="12" t="s">
        <v>106</v>
      </c>
    </row>
    <row r="29" spans="1:14" x14ac:dyDescent="0.3">
      <c r="A29" s="8">
        <v>46270</v>
      </c>
      <c r="B29" s="9">
        <v>420</v>
      </c>
      <c r="C29" s="9">
        <v>120</v>
      </c>
      <c r="D29" s="9">
        <v>180</v>
      </c>
      <c r="E29" s="9">
        <v>60</v>
      </c>
      <c r="F29" s="9">
        <v>0</v>
      </c>
      <c r="G29" s="9">
        <v>0</v>
      </c>
      <c r="H29" s="9">
        <v>180</v>
      </c>
      <c r="I29" s="10">
        <f t="shared" si="6"/>
        <v>960</v>
      </c>
      <c r="J29" s="10">
        <f t="shared" si="7"/>
        <v>480</v>
      </c>
      <c r="K29" s="11" t="s">
        <v>60</v>
      </c>
      <c r="L29" s="11" t="s">
        <v>50</v>
      </c>
      <c r="M29" s="11" t="s">
        <v>58</v>
      </c>
      <c r="N29" s="12" t="s">
        <v>107</v>
      </c>
    </row>
    <row r="30" spans="1:14" x14ac:dyDescent="0.3">
      <c r="A30" s="8">
        <v>46271</v>
      </c>
      <c r="B30" s="9">
        <v>440</v>
      </c>
      <c r="C30" s="9">
        <v>10</v>
      </c>
      <c r="D30" s="9">
        <v>350</v>
      </c>
      <c r="E30" s="9">
        <v>50</v>
      </c>
      <c r="F30" s="9">
        <v>0</v>
      </c>
      <c r="G30" s="9">
        <v>0</v>
      </c>
      <c r="H30" s="9">
        <v>120</v>
      </c>
      <c r="I30" s="10">
        <f t="shared" si="6"/>
        <v>970</v>
      </c>
      <c r="J30" s="10">
        <f t="shared" si="7"/>
        <v>470</v>
      </c>
      <c r="K30" s="11" t="s">
        <v>49</v>
      </c>
      <c r="L30" s="11" t="s">
        <v>56</v>
      </c>
      <c r="M30" s="11" t="s">
        <v>51</v>
      </c>
      <c r="N30" s="12" t="s">
        <v>108</v>
      </c>
    </row>
    <row r="31" spans="1:14" x14ac:dyDescent="0.3">
      <c r="A31" s="8">
        <v>46272</v>
      </c>
      <c r="B31" s="9">
        <v>410</v>
      </c>
      <c r="C31" s="9">
        <v>80</v>
      </c>
      <c r="D31" s="9">
        <v>120</v>
      </c>
      <c r="E31" s="9">
        <v>20</v>
      </c>
      <c r="F31" s="9">
        <v>350</v>
      </c>
      <c r="G31" s="9">
        <v>7</v>
      </c>
      <c r="H31" s="9">
        <v>20</v>
      </c>
      <c r="I31" s="10">
        <f t="shared" si="6"/>
        <v>1000</v>
      </c>
      <c r="J31" s="10">
        <f t="shared" si="7"/>
        <v>440</v>
      </c>
      <c r="K31" s="11" t="s">
        <v>49</v>
      </c>
      <c r="L31" s="11" t="s">
        <v>56</v>
      </c>
      <c r="M31" s="11" t="s">
        <v>51</v>
      </c>
      <c r="N31" s="12" t="s">
        <v>109</v>
      </c>
    </row>
    <row r="32" spans="1:14" x14ac:dyDescent="0.3">
      <c r="A32" s="8">
        <v>46273</v>
      </c>
      <c r="B32" s="9">
        <v>340</v>
      </c>
      <c r="C32" s="9">
        <v>80</v>
      </c>
      <c r="D32" s="9">
        <v>120</v>
      </c>
      <c r="E32" s="9">
        <v>60</v>
      </c>
      <c r="F32" s="9">
        <v>250</v>
      </c>
      <c r="G32" s="9">
        <v>5</v>
      </c>
      <c r="H32" s="9">
        <v>80</v>
      </c>
      <c r="I32" s="10">
        <f t="shared" si="6"/>
        <v>930</v>
      </c>
      <c r="J32" s="10">
        <f t="shared" si="7"/>
        <v>510</v>
      </c>
      <c r="K32" s="11" t="s">
        <v>49</v>
      </c>
      <c r="L32" s="11" t="s">
        <v>56</v>
      </c>
      <c r="M32" s="11" t="s">
        <v>51</v>
      </c>
      <c r="N32" s="12" t="s">
        <v>110</v>
      </c>
    </row>
    <row r="33" spans="1:14" x14ac:dyDescent="0.3">
      <c r="A33" s="8">
        <v>46274</v>
      </c>
      <c r="B33" s="9">
        <v>420</v>
      </c>
      <c r="C33" s="9">
        <v>80</v>
      </c>
      <c r="D33" s="9">
        <v>200</v>
      </c>
      <c r="E33" s="9">
        <v>100</v>
      </c>
      <c r="F33" s="9">
        <v>200</v>
      </c>
      <c r="G33" s="9">
        <v>4</v>
      </c>
      <c r="H33" s="9">
        <v>60</v>
      </c>
      <c r="I33" s="10">
        <f t="shared" si="6"/>
        <v>1060</v>
      </c>
      <c r="J33" s="10">
        <f t="shared" si="7"/>
        <v>380</v>
      </c>
      <c r="K33" s="11" t="s">
        <v>56</v>
      </c>
      <c r="L33" s="11" t="s">
        <v>56</v>
      </c>
      <c r="M33" s="11" t="s">
        <v>51</v>
      </c>
      <c r="N33" s="12" t="s">
        <v>86</v>
      </c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360</v>
      </c>
      <c r="I36" s="10">
        <f t="shared" si="6"/>
        <v>690</v>
      </c>
      <c r="J36" s="10">
        <f t="shared" si="7"/>
        <v>750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480</v>
      </c>
      <c r="I37" s="10">
        <f t="shared" si="6"/>
        <v>910</v>
      </c>
      <c r="J37" s="10">
        <f t="shared" si="7"/>
        <v>530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80</v>
      </c>
      <c r="F41" s="9">
        <v>250</v>
      </c>
      <c r="G41" s="9">
        <v>5</v>
      </c>
      <c r="H41" s="9">
        <v>0</v>
      </c>
      <c r="I41" s="10">
        <f t="shared" si="6"/>
        <v>850</v>
      </c>
      <c r="J41" s="10">
        <f t="shared" si="7"/>
        <v>590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50</v>
      </c>
      <c r="F42" s="9">
        <v>300</v>
      </c>
      <c r="G42" s="9">
        <v>6</v>
      </c>
      <c r="H42" s="9">
        <v>30</v>
      </c>
      <c r="I42" s="10">
        <f t="shared" si="6"/>
        <v>1050</v>
      </c>
      <c r="J42" s="10">
        <f t="shared" si="7"/>
        <v>390</v>
      </c>
      <c r="K42" s="11" t="s">
        <v>49</v>
      </c>
      <c r="L42" s="11" t="s">
        <v>50</v>
      </c>
      <c r="M42" s="11" t="s">
        <v>58</v>
      </c>
      <c r="N42" s="12" t="s">
        <v>90</v>
      </c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110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940</v>
      </c>
      <c r="J47" s="10">
        <f t="shared" si="7"/>
        <v>500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150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1000</v>
      </c>
      <c r="J48" s="10">
        <f t="shared" si="7"/>
        <v>440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>
        <v>120</v>
      </c>
      <c r="E49" s="9">
        <v>60</v>
      </c>
      <c r="F49" s="9">
        <v>300</v>
      </c>
      <c r="G49" s="9">
        <v>6</v>
      </c>
      <c r="H49" s="9">
        <v>60</v>
      </c>
      <c r="I49" s="10">
        <f t="shared" si="6"/>
        <v>980</v>
      </c>
      <c r="J49" s="10">
        <f t="shared" si="7"/>
        <v>460</v>
      </c>
      <c r="K49" s="11" t="s">
        <v>49</v>
      </c>
      <c r="L49" s="11" t="s">
        <v>50</v>
      </c>
      <c r="M49" s="11" t="s">
        <v>51</v>
      </c>
      <c r="N49" s="12" t="s">
        <v>87</v>
      </c>
    </row>
    <row r="50" spans="1:14" x14ac:dyDescent="0.3">
      <c r="A50" s="8">
        <v>46291</v>
      </c>
      <c r="B50" s="9">
        <v>540</v>
      </c>
      <c r="C50" s="9">
        <v>0</v>
      </c>
      <c r="D50" s="9">
        <v>300</v>
      </c>
      <c r="E50" s="9">
        <v>180</v>
      </c>
      <c r="F50" s="9">
        <v>0</v>
      </c>
      <c r="G50" s="9">
        <v>0</v>
      </c>
      <c r="H50" s="9">
        <v>40</v>
      </c>
      <c r="I50" s="10">
        <f t="shared" si="6"/>
        <v>1060</v>
      </c>
      <c r="J50" s="10">
        <f t="shared" si="7"/>
        <v>380</v>
      </c>
      <c r="K50" s="11" t="s">
        <v>60</v>
      </c>
      <c r="L50" s="11" t="s">
        <v>50</v>
      </c>
      <c r="M50" s="11" t="s">
        <v>58</v>
      </c>
      <c r="N50" s="12" t="s">
        <v>88</v>
      </c>
    </row>
    <row r="51" spans="1:14" x14ac:dyDescent="0.3">
      <c r="A51" s="8">
        <v>46292</v>
      </c>
      <c r="B51" s="9">
        <v>300</v>
      </c>
      <c r="C51" s="9">
        <v>120</v>
      </c>
      <c r="D51" s="9">
        <v>180</v>
      </c>
      <c r="E51" s="9">
        <v>40</v>
      </c>
      <c r="F51" s="9">
        <v>0</v>
      </c>
      <c r="G51" s="9">
        <v>0</v>
      </c>
      <c r="H51" s="9">
        <v>60</v>
      </c>
      <c r="I51" s="10">
        <f t="shared" si="6"/>
        <v>700</v>
      </c>
      <c r="J51" s="10">
        <f t="shared" si="7"/>
        <v>740</v>
      </c>
      <c r="K51" s="11" t="s">
        <v>49</v>
      </c>
      <c r="L51" s="11" t="s">
        <v>56</v>
      </c>
      <c r="M51" s="11" t="s">
        <v>51</v>
      </c>
      <c r="N51" s="12" t="s">
        <v>89</v>
      </c>
    </row>
    <row r="52" spans="1:14" x14ac:dyDescent="0.3">
      <c r="A52" s="8">
        <v>46293</v>
      </c>
      <c r="B52" s="9">
        <v>360</v>
      </c>
      <c r="C52" s="9">
        <v>0</v>
      </c>
      <c r="D52" s="9">
        <v>100</v>
      </c>
      <c r="E52" s="9">
        <v>60</v>
      </c>
      <c r="F52" s="9">
        <v>0</v>
      </c>
      <c r="G52" s="9">
        <v>0</v>
      </c>
      <c r="H52" s="9">
        <v>150</v>
      </c>
      <c r="I52" s="10">
        <f t="shared" si="6"/>
        <v>670</v>
      </c>
      <c r="J52" s="10">
        <f t="shared" si="7"/>
        <v>770</v>
      </c>
      <c r="K52" s="11" t="s">
        <v>56</v>
      </c>
      <c r="L52" s="11" t="s">
        <v>59</v>
      </c>
      <c r="M52" s="11" t="s">
        <v>51</v>
      </c>
      <c r="N52" s="12"/>
    </row>
    <row r="53" spans="1:14" x14ac:dyDescent="0.3">
      <c r="A53" s="8">
        <v>46294</v>
      </c>
      <c r="B53" s="9">
        <v>420</v>
      </c>
      <c r="C53" s="9">
        <v>30</v>
      </c>
      <c r="D53" s="9">
        <v>0</v>
      </c>
      <c r="E53" s="9">
        <v>30</v>
      </c>
      <c r="F53" s="9">
        <v>0</v>
      </c>
      <c r="G53" s="9">
        <v>0</v>
      </c>
      <c r="H53" s="9">
        <v>30</v>
      </c>
      <c r="I53" s="10">
        <f t="shared" si="6"/>
        <v>510</v>
      </c>
      <c r="J53" s="10">
        <f t="shared" si="7"/>
        <v>930</v>
      </c>
      <c r="K53" s="11" t="s">
        <v>49</v>
      </c>
      <c r="L53" s="11" t="s">
        <v>56</v>
      </c>
      <c r="M53" s="11" t="s">
        <v>51</v>
      </c>
      <c r="N53" s="12" t="s">
        <v>91</v>
      </c>
    </row>
    <row r="54" spans="1:14" x14ac:dyDescent="0.3">
      <c r="A54" s="8">
        <v>46295</v>
      </c>
      <c r="B54" s="9">
        <v>450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240</v>
      </c>
      <c r="I54" s="10">
        <f t="shared" si="6"/>
        <v>690</v>
      </c>
      <c r="J54" s="10">
        <f t="shared" si="7"/>
        <v>750</v>
      </c>
      <c r="K54" s="11" t="s">
        <v>49</v>
      </c>
      <c r="L54" s="11" t="s">
        <v>50</v>
      </c>
      <c r="M54" s="11" t="s">
        <v>58</v>
      </c>
      <c r="N54" s="12" t="s">
        <v>92</v>
      </c>
    </row>
    <row r="55" spans="1:14" x14ac:dyDescent="0.3">
      <c r="A55" s="8">
        <v>46296</v>
      </c>
      <c r="B55" s="9">
        <v>300</v>
      </c>
      <c r="C55" s="9">
        <v>20</v>
      </c>
      <c r="D55" s="9">
        <v>30</v>
      </c>
      <c r="E55" s="9">
        <v>20</v>
      </c>
      <c r="F55" s="9">
        <v>0</v>
      </c>
      <c r="G55" s="9">
        <v>0</v>
      </c>
      <c r="H55" s="9">
        <v>300</v>
      </c>
      <c r="I55" s="10">
        <f t="shared" si="6"/>
        <v>670</v>
      </c>
      <c r="J55" s="10">
        <f t="shared" si="7"/>
        <v>770</v>
      </c>
      <c r="K55" s="11" t="s">
        <v>60</v>
      </c>
      <c r="L55" s="11" t="s">
        <v>61</v>
      </c>
      <c r="M55" s="11" t="s">
        <v>58</v>
      </c>
      <c r="N55" s="12" t="s">
        <v>93</v>
      </c>
    </row>
    <row r="56" spans="1:14" x14ac:dyDescent="0.3">
      <c r="A56" s="8">
        <v>46297</v>
      </c>
      <c r="B56" s="9">
        <v>540</v>
      </c>
      <c r="C56" s="9">
        <v>30</v>
      </c>
      <c r="D56" s="9">
        <v>60</v>
      </c>
      <c r="E56" s="9">
        <v>30</v>
      </c>
      <c r="F56" s="9">
        <v>0</v>
      </c>
      <c r="G56" s="9">
        <v>0</v>
      </c>
      <c r="H56" s="9">
        <v>120</v>
      </c>
      <c r="I56" s="10">
        <f t="shared" si="6"/>
        <v>780</v>
      </c>
      <c r="J56" s="10">
        <f t="shared" si="7"/>
        <v>660</v>
      </c>
      <c r="K56" s="11" t="s">
        <v>49</v>
      </c>
      <c r="L56" s="11" t="s">
        <v>50</v>
      </c>
      <c r="M56" s="11" t="s">
        <v>51</v>
      </c>
      <c r="N56" s="12"/>
    </row>
    <row r="57" spans="1:14" x14ac:dyDescent="0.3">
      <c r="A57" s="8">
        <v>46298</v>
      </c>
      <c r="B57" s="9">
        <v>420</v>
      </c>
      <c r="C57" s="9">
        <v>30</v>
      </c>
      <c r="D57" s="9">
        <v>80</v>
      </c>
      <c r="E57" s="9">
        <v>0</v>
      </c>
      <c r="F57" s="9">
        <v>0</v>
      </c>
      <c r="G57" s="9">
        <v>0</v>
      </c>
      <c r="H57" s="9">
        <v>260</v>
      </c>
      <c r="I57" s="10">
        <f t="shared" si="6"/>
        <v>790</v>
      </c>
      <c r="J57" s="10">
        <f t="shared" si="7"/>
        <v>650</v>
      </c>
      <c r="K57" s="11" t="s">
        <v>49</v>
      </c>
      <c r="L57" s="11" t="s">
        <v>50</v>
      </c>
      <c r="M57" s="11" t="s">
        <v>51</v>
      </c>
      <c r="N57" s="12"/>
    </row>
    <row r="58" spans="1:14" x14ac:dyDescent="0.3">
      <c r="A58" s="8">
        <v>46299</v>
      </c>
      <c r="B58" s="9">
        <v>540</v>
      </c>
      <c r="C58" s="9">
        <v>0</v>
      </c>
      <c r="D58" s="9">
        <v>60</v>
      </c>
      <c r="E58" s="9">
        <v>50</v>
      </c>
      <c r="F58" s="9">
        <v>0</v>
      </c>
      <c r="G58" s="9">
        <v>0</v>
      </c>
      <c r="H58" s="9">
        <v>200</v>
      </c>
      <c r="I58" s="10">
        <f t="shared" si="6"/>
        <v>850</v>
      </c>
      <c r="J58" s="10">
        <f t="shared" si="7"/>
        <v>590</v>
      </c>
      <c r="K58" s="11" t="s">
        <v>49</v>
      </c>
      <c r="L58" s="11" t="s">
        <v>56</v>
      </c>
      <c r="M58" s="11" t="s">
        <v>51</v>
      </c>
      <c r="N58" s="12" t="s">
        <v>94</v>
      </c>
    </row>
    <row r="59" spans="1:14" x14ac:dyDescent="0.3">
      <c r="A59" s="8">
        <v>46300</v>
      </c>
      <c r="B59" s="9"/>
      <c r="C59" s="9"/>
      <c r="D59" s="9"/>
      <c r="E59" s="9"/>
      <c r="F59" s="9"/>
      <c r="G59" s="9"/>
      <c r="H59" s="9"/>
      <c r="I59" s="10"/>
      <c r="J59" s="10"/>
      <c r="K59" s="11"/>
      <c r="L59" s="11"/>
      <c r="M59" s="11"/>
      <c r="N59" s="12"/>
    </row>
    <row r="60" spans="1:14" x14ac:dyDescent="0.3">
      <c r="A60" s="8">
        <v>46301</v>
      </c>
      <c r="B60" s="9"/>
      <c r="C60" s="9"/>
      <c r="D60" s="9"/>
      <c r="E60" s="9"/>
      <c r="F60" s="9"/>
      <c r="G60" s="9"/>
      <c r="H60" s="9"/>
      <c r="I60" s="10"/>
      <c r="J60" s="10"/>
      <c r="K60" s="11"/>
      <c r="L60" s="11"/>
      <c r="M60" s="11"/>
      <c r="N60" s="12"/>
    </row>
  </sheetData>
  <mergeCells count="5">
    <mergeCell ref="A4:N4"/>
    <mergeCell ref="B2:D2"/>
    <mergeCell ref="F2:G2"/>
    <mergeCell ref="B3:D3"/>
    <mergeCell ref="F3:G3"/>
  </mergeCells>
  <conditionalFormatting sqref="J6:J6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60" xr:uid="{00000000-0002-0000-0100-000000000000}">
      <formula1>"Excellent,Good,Neutral,Low,Stressed"</formula1>
      <formula2>0</formula2>
    </dataValidation>
    <dataValidation type="list" allowBlank="1" prompt="Select today's satisfaction level" sqref="L6:L6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6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2026-10-04T17:43:24Z</dcterms:modified>
  <dc:language>en-US</dc:language>
</cp:coreProperties>
</file>